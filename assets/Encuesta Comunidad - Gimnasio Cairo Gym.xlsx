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<sst xmlns="http://schemas.openxmlformats.org/spreadsheetml/2006/main" count="346" uniqueCount="151">
  <si>
    <t>Horarios</t>
  </si>
  <si>
    <t>Cantidad</t>
  </si>
  <si>
    <t>%</t>
  </si>
  <si>
    <t>Motivos</t>
  </si>
  <si>
    <t>Frecuencia</t>
  </si>
  <si>
    <t>Mañana</t>
  </si>
  <si>
    <t>Ganar masa muscular</t>
  </si>
  <si>
    <t>1-2 veces</t>
  </si>
  <si>
    <t>Mediodía</t>
  </si>
  <si>
    <t>Mejorar mi salud</t>
  </si>
  <si>
    <t>3-4 veces</t>
  </si>
  <si>
    <t>Tarde</t>
  </si>
  <si>
    <t>Mejorar mi condición física</t>
  </si>
  <si>
    <t>5-6 veces</t>
  </si>
  <si>
    <t>Noche</t>
  </si>
  <si>
    <t>Perder peso</t>
  </si>
  <si>
    <t>Recreación/bienestar</t>
  </si>
  <si>
    <t>ID_Participante</t>
  </si>
  <si>
    <t>Rango_Edad</t>
  </si>
  <si>
    <t>Rol</t>
  </si>
  <si>
    <t>Antigüedad</t>
  </si>
  <si>
    <t>Frecuencia_Semanal</t>
  </si>
  <si>
    <t>Horario_Habitual</t>
  </si>
  <si>
    <t>Duracion_Sesion</t>
  </si>
  <si>
    <t>Motivo_Principal</t>
  </si>
  <si>
    <t>Accesibilidad</t>
  </si>
  <si>
    <t>Beneficio_Comunidad</t>
  </si>
  <si>
    <t>Que_Mas_Disfruta</t>
  </si>
  <si>
    <t>Dificultad_Identificada</t>
  </si>
  <si>
    <t>Propuesta_Mejora</t>
  </si>
  <si>
    <t>P01</t>
  </si>
  <si>
    <t>18-29</t>
  </si>
  <si>
    <t>Usuario/Cliente</t>
  </si>
  <si>
    <t>1-2 años</t>
  </si>
  <si>
    <t>5 veces</t>
  </si>
  <si>
    <t>1 hora y 30 minutos</t>
  </si>
  <si>
    <t>Sí</t>
  </si>
  <si>
    <t>El ambiente motivador y entrenar fuerza</t>
  </si>
  <si>
    <t>Mucha gente en máquinas de polea en la noche</t>
  </si>
  <si>
    <t>Adquirir otra torre de poleas</t>
  </si>
  <si>
    <t>P02</t>
  </si>
  <si>
    <t>30-44</t>
  </si>
  <si>
    <t>Menos de 1 año</t>
  </si>
  <si>
    <t>4 veces</t>
  </si>
  <si>
    <t>1 hora</t>
  </si>
  <si>
    <t>Empezar el día con energía y buen humor</t>
  </si>
  <si>
    <t>A veces faltan lockers disponibles</t>
  </si>
  <si>
    <t>Aumentar el número de casilleros</t>
  </si>
  <si>
    <t>P03</t>
  </si>
  <si>
    <t>Menos de 6 meses</t>
  </si>
  <si>
    <t>3 veces</t>
  </si>
  <si>
    <t>Parcialmente</t>
  </si>
  <si>
    <t>La variedad de ejercicios y rutinas guiadas</t>
  </si>
  <si>
    <t>Desconozco la técnica de varios ejercicios</t>
  </si>
  <si>
    <t>Que los instructores den más inducción inicial</t>
  </si>
  <si>
    <t>P04</t>
  </si>
  <si>
    <t>45-59</t>
  </si>
  <si>
    <t>Más de 2 años</t>
  </si>
  <si>
    <t>Alivio de dolores articulares y movilidad</t>
  </si>
  <si>
    <t>Falta de colchonetas en buen estado</t>
  </si>
  <si>
    <t>Renovar colchonetas y bandas de estiramiento</t>
  </si>
  <si>
    <t>P05</t>
  </si>
  <si>
    <t>Personal del gym</t>
  </si>
  <si>
    <t>6 veces</t>
  </si>
  <si>
    <t>mas de 2 horas</t>
  </si>
  <si>
    <t>Ayudar a la gente a progresar y entrenar pesado</t>
  </si>
  <si>
    <t>Desorden con las mancuernas y discos</t>
  </si>
  <si>
    <t>Poner señalética y organizar zonas</t>
  </si>
  <si>
    <t>P06</t>
  </si>
  <si>
    <t>La música y la zona de peso libre</t>
  </si>
  <si>
    <t>Esperar turnos para bancos y sentadillas</t>
  </si>
  <si>
    <t>Agregar un rack adicional de sentadillas</t>
  </si>
  <si>
    <t>P07</t>
  </si>
  <si>
    <t>Las caminadoras y el entrenamiento cardio</t>
  </si>
  <si>
    <t>Calor excesivo en horario de la noche</t>
  </si>
  <si>
    <t>Mejorar la ventilación o instalar aire acondicionado</t>
  </si>
  <si>
    <t>P08</t>
  </si>
  <si>
    <t>Menor de 18</t>
  </si>
  <si>
    <t>Hacer ejercicio con amigos del colegio</t>
  </si>
  <si>
    <t>Precio de mensualidad para estudiantes</t>
  </si>
  <si>
    <t>Descuentos o tarifas especiales estudiantiles</t>
  </si>
  <si>
    <t>P09</t>
  </si>
  <si>
    <t>60 o más</t>
  </si>
  <si>
    <t>menos de 1 hora</t>
  </si>
  <si>
    <t>Ejercicios de bajo impacto y trato amable</t>
  </si>
  <si>
    <t>Falta de máquinas adaptadas a adultos mayores</t>
  </si>
  <si>
    <t>Rutinas y talleres para la tercera edad</t>
  </si>
  <si>
    <t>P10</t>
  </si>
  <si>
    <t>La desconexión del estrés universitario</t>
  </si>
  <si>
    <t>Aglomeración entre las 18:00 y las 20:00</t>
  </si>
  <si>
    <t>Extender horario de atención hasta más tarde</t>
  </si>
  <si>
    <t>P11</t>
  </si>
  <si>
    <t>Entrenar rápido en mi hora de almuerzo</t>
  </si>
  <si>
    <t>Poca iluminación en ciertas zonas</t>
  </si>
  <si>
    <t>Mejorar mantenimiento de las luces</t>
  </si>
  <si>
    <t>P12</t>
  </si>
  <si>
    <t>Primera vez</t>
  </si>
  <si>
    <t>1 vez</t>
  </si>
  <si>
    <t>No está seguro/a</t>
  </si>
  <si>
    <t>Probar las máquinas cardiovasculares</t>
  </si>
  <si>
    <t>Vergüenza o timidez al ser nuevo</t>
  </si>
  <si>
    <t>Taller corto de bienvenida para novatos</t>
  </si>
  <si>
    <t>P13</t>
  </si>
  <si>
    <t>Caminar en cinta y fortalecer piernas</t>
  </si>
  <si>
    <t>A veces las máquinas de cardio tienen fallas</t>
  </si>
  <si>
    <t>Mantenimiento preventivo más frecuente</t>
  </si>
  <si>
    <t>P14</t>
  </si>
  <si>
    <t>Ver el progreso físico y de salud del barrio</t>
  </si>
  <si>
    <t>Horarios pico donde se complica atender dudas</t>
  </si>
  <si>
    <t>Organizar turnos de entrenadores por zonas</t>
  </si>
  <si>
    <t>P15</t>
  </si>
  <si>
    <t>Sudar y liberar tensiones del trabajo</t>
  </si>
  <si>
    <t>Falta de estacionamiento para motos y bicis</t>
  </si>
  <si>
    <t>Habilitar un bicicletero seguro</t>
  </si>
  <si>
    <t>P16</t>
  </si>
  <si>
    <t>Aprender a levantar pesas correctamente</t>
  </si>
  <si>
    <t>Pocos discos pequeños (1.25 kg y 2.5 kg)</t>
  </si>
  <si>
    <t>Comprar más pares de discos fraccionales</t>
  </si>
  <si>
    <t>P17</t>
  </si>
  <si>
    <t>Superar marcas personales en levantamiento</t>
  </si>
  <si>
    <t>Bancos ocupados mucho tiempo</t>
  </si>
  <si>
    <t>Fomentar alternar series entre compañeros</t>
  </si>
  <si>
    <t>P18</t>
  </si>
  <si>
    <t>La tranquilidad de la mañana para entrenar</t>
  </si>
  <si>
    <t>No hay dispensador de agua potable</t>
  </si>
  <si>
    <t>Instalar dispensador o filtro de agua</t>
  </si>
  <si>
    <t>P19</t>
  </si>
  <si>
    <t>2 veces</t>
  </si>
  <si>
    <t>La cercanía a mi casa, es el único del sector</t>
  </si>
  <si>
    <t>Música con volumen demasiado alto a veces</t>
  </si>
  <si>
    <t>Regular el volumen de la música ambiental</t>
  </si>
  <si>
    <t>P20</t>
  </si>
  <si>
    <t>Entrenar piernas y hacer cardio</t>
  </si>
  <si>
    <t>El piso de la zona libre resbala un poco</t>
  </si>
  <si>
    <t>Colocar piso de caucho antideslizante</t>
  </si>
  <si>
    <t>P21</t>
  </si>
  <si>
    <t>Caminar y hacer movilidad para la espalda</t>
  </si>
  <si>
    <t>Escalones de entrada difíciles para subir</t>
  </si>
  <si>
    <t>Rampa de acceso para personas con movilidad reducida</t>
  </si>
  <si>
    <t>P22</t>
  </si>
  <si>
    <t>La motivación de ver a otros entrenar</t>
  </si>
  <si>
    <t>Sentirse desorientado el primer día</t>
  </si>
  <si>
    <t>Cartel explicativo o infografía con zonas</t>
  </si>
  <si>
    <t>P23</t>
  </si>
  <si>
    <t>La disciplina física y mental que genera</t>
  </si>
  <si>
    <t>Poca variedad de mancuernas pesadas</t>
  </si>
  <si>
    <t>Incorporar mancuernas de mayor peso</t>
  </si>
  <si>
    <t>P24</t>
  </si>
  <si>
    <t>Despejar la mente después de estudiar</t>
  </si>
  <si>
    <t>Congestión de personas a las 19:00</t>
  </si>
  <si>
    <t>Publicar horarios recomendados de baja afluencia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</si>
</sst>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Hoja 1-style">
      <tableStyleElement dxfId="1" type="firstRowStripe"/>
      <tableStyleElement dxfId="2" type="secondRowStripe"/>
    </tableStyle>
    <tableStyle count="2" pivot="0" name="Hoja 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I6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A8:M31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0.88"/>
    <col customWidth="1" min="3" max="3" width="13.38"/>
    <col customWidth="1" min="4" max="4" width="20.5"/>
    <col customWidth="1" min="5" max="5" width="17.5"/>
    <col customWidth="1" min="6" max="6" width="14.5"/>
    <col customWidth="1" min="7" max="7" width="15.13"/>
    <col customWidth="1" min="8" max="8" width="20.5"/>
    <col customWidth="1" min="9" max="9" width="13.5"/>
    <col customWidth="1" min="10" max="10" width="18.5"/>
    <col customWidth="1" min="11" max="11" width="35.38"/>
    <col customWidth="1" min="12" max="12" width="36.0"/>
    <col customWidth="1" min="13" max="13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1</v>
      </c>
      <c r="I1" s="1" t="s">
        <v>2</v>
      </c>
    </row>
    <row r="2">
      <c r="A2" s="2" t="s">
        <v>5</v>
      </c>
      <c r="B2" s="3">
        <f t="shared" ref="B2:B5" si="1">COUNTIF(F$8:F$31, A2)</f>
        <v>8</v>
      </c>
      <c r="C2" s="4">
        <f t="shared" ref="C2:C5" si="2">B2/24</f>
        <v>0.3333333333</v>
      </c>
      <c r="D2" s="2" t="s">
        <v>6</v>
      </c>
      <c r="E2" s="3">
        <f t="shared" ref="E2:E6" si="3">COUNTIF(H$8:H$31, D2)</f>
        <v>8</v>
      </c>
      <c r="F2" s="4">
        <f t="shared" ref="F2:F6" si="4">E2/24</f>
        <v>0.3333333333</v>
      </c>
      <c r="G2" s="2" t="s">
        <v>7</v>
      </c>
      <c r="H2" s="3">
        <f>COUNTIF(E$8:E$31, "1 vez") + COUNTIF(E$8:E$31, "2 veces")</f>
        <v>3</v>
      </c>
      <c r="I2" s="4">
        <f t="shared" ref="I2:I4" si="5">H2/24</f>
        <v>0.125</v>
      </c>
    </row>
    <row r="3">
      <c r="A3" s="2" t="s">
        <v>8</v>
      </c>
      <c r="B3" s="3">
        <f t="shared" si="1"/>
        <v>2</v>
      </c>
      <c r="C3" s="4">
        <f t="shared" si="2"/>
        <v>0.08333333333</v>
      </c>
      <c r="D3" s="2" t="s">
        <v>9</v>
      </c>
      <c r="E3" s="3">
        <f t="shared" si="3"/>
        <v>6</v>
      </c>
      <c r="F3" s="4">
        <f t="shared" si="4"/>
        <v>0.25</v>
      </c>
      <c r="G3" s="2" t="s">
        <v>10</v>
      </c>
      <c r="H3" s="3">
        <f>COUNTIF(E$8:E$31, "3 veces") + COUNTIF(E$8:E$31, "4 veces")</f>
        <v>14</v>
      </c>
      <c r="I3" s="4">
        <f t="shared" si="5"/>
        <v>0.5833333333</v>
      </c>
    </row>
    <row r="4">
      <c r="A4" s="2" t="s">
        <v>11</v>
      </c>
      <c r="B4" s="3">
        <f t="shared" si="1"/>
        <v>7</v>
      </c>
      <c r="C4" s="4">
        <f t="shared" si="2"/>
        <v>0.2916666667</v>
      </c>
      <c r="D4" s="2" t="s">
        <v>12</v>
      </c>
      <c r="E4" s="3">
        <f t="shared" si="3"/>
        <v>3</v>
      </c>
      <c r="F4" s="4">
        <f t="shared" si="4"/>
        <v>0.125</v>
      </c>
      <c r="G4" s="2" t="s">
        <v>13</v>
      </c>
      <c r="H4" s="3">
        <f>COUNTIF(E$8:E$31, "5 veces") + COUNTIF(E$8:E$31, "6 veces")</f>
        <v>7</v>
      </c>
      <c r="I4" s="4">
        <f t="shared" si="5"/>
        <v>0.2916666667</v>
      </c>
    </row>
    <row r="5">
      <c r="A5" s="2" t="s">
        <v>14</v>
      </c>
      <c r="B5" s="3">
        <f t="shared" si="1"/>
        <v>7</v>
      </c>
      <c r="C5" s="4">
        <f t="shared" si="2"/>
        <v>0.2916666667</v>
      </c>
      <c r="D5" s="2" t="s">
        <v>15</v>
      </c>
      <c r="E5" s="3">
        <f t="shared" si="3"/>
        <v>4</v>
      </c>
      <c r="F5" s="4">
        <f t="shared" si="4"/>
        <v>0.1666666667</v>
      </c>
      <c r="G5" s="3"/>
      <c r="H5" s="3"/>
      <c r="I5" s="3"/>
    </row>
    <row r="6">
      <c r="A6" s="3"/>
      <c r="B6" s="3"/>
      <c r="C6" s="3"/>
      <c r="D6" s="2" t="s">
        <v>16</v>
      </c>
      <c r="E6" s="3">
        <f t="shared" si="3"/>
        <v>3</v>
      </c>
      <c r="F6" s="4">
        <f t="shared" si="4"/>
        <v>0.125</v>
      </c>
      <c r="G6" s="3"/>
      <c r="H6" s="3"/>
      <c r="I6" s="3"/>
    </row>
    <row r="7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14</v>
      </c>
      <c r="G8" s="2" t="s">
        <v>35</v>
      </c>
      <c r="H8" s="2" t="s">
        <v>6</v>
      </c>
      <c r="I8" s="2" t="s">
        <v>36</v>
      </c>
      <c r="J8" s="2" t="s">
        <v>36</v>
      </c>
      <c r="K8" s="2" t="s">
        <v>37</v>
      </c>
      <c r="L8" s="2" t="s">
        <v>38</v>
      </c>
      <c r="M8" s="2" t="s">
        <v>39</v>
      </c>
    </row>
    <row r="9">
      <c r="A9" s="2" t="s">
        <v>40</v>
      </c>
      <c r="B9" s="2" t="s">
        <v>41</v>
      </c>
      <c r="C9" s="2" t="s">
        <v>32</v>
      </c>
      <c r="D9" s="2" t="s">
        <v>42</v>
      </c>
      <c r="E9" s="2" t="s">
        <v>43</v>
      </c>
      <c r="F9" s="2" t="s">
        <v>5</v>
      </c>
      <c r="G9" s="2" t="s">
        <v>44</v>
      </c>
      <c r="H9" s="2" t="s">
        <v>9</v>
      </c>
      <c r="I9" s="2" t="s">
        <v>36</v>
      </c>
      <c r="J9" s="2" t="s">
        <v>36</v>
      </c>
      <c r="K9" s="2" t="s">
        <v>45</v>
      </c>
      <c r="L9" s="2" t="s">
        <v>46</v>
      </c>
      <c r="M9" s="2" t="s">
        <v>47</v>
      </c>
    </row>
    <row r="10">
      <c r="A10" s="2" t="s">
        <v>48</v>
      </c>
      <c r="B10" s="2" t="s">
        <v>31</v>
      </c>
      <c r="C10" s="2" t="s">
        <v>32</v>
      </c>
      <c r="D10" s="2" t="s">
        <v>49</v>
      </c>
      <c r="E10" s="2" t="s">
        <v>50</v>
      </c>
      <c r="F10" s="2" t="s">
        <v>11</v>
      </c>
      <c r="G10" s="2" t="s">
        <v>44</v>
      </c>
      <c r="H10" s="2" t="s">
        <v>12</v>
      </c>
      <c r="I10" s="2" t="s">
        <v>51</v>
      </c>
      <c r="J10" s="2" t="s">
        <v>36</v>
      </c>
      <c r="K10" s="2" t="s">
        <v>52</v>
      </c>
      <c r="L10" s="2" t="s">
        <v>53</v>
      </c>
      <c r="M10" s="2" t="s">
        <v>54</v>
      </c>
    </row>
    <row r="11">
      <c r="A11" s="2" t="s">
        <v>55</v>
      </c>
      <c r="B11" s="2" t="s">
        <v>56</v>
      </c>
      <c r="C11" s="2" t="s">
        <v>32</v>
      </c>
      <c r="D11" s="2" t="s">
        <v>57</v>
      </c>
      <c r="E11" s="2" t="s">
        <v>43</v>
      </c>
      <c r="F11" s="2" t="s">
        <v>5</v>
      </c>
      <c r="G11" s="2" t="s">
        <v>44</v>
      </c>
      <c r="H11" s="2" t="s">
        <v>9</v>
      </c>
      <c r="I11" s="2" t="s">
        <v>36</v>
      </c>
      <c r="J11" s="2" t="s">
        <v>36</v>
      </c>
      <c r="K11" s="2" t="s">
        <v>58</v>
      </c>
      <c r="L11" s="2" t="s">
        <v>59</v>
      </c>
      <c r="M11" s="2" t="s">
        <v>60</v>
      </c>
    </row>
    <row r="12">
      <c r="A12" s="2" t="s">
        <v>61</v>
      </c>
      <c r="B12" s="2" t="s">
        <v>31</v>
      </c>
      <c r="C12" s="2" t="s">
        <v>62</v>
      </c>
      <c r="D12" s="2" t="s">
        <v>57</v>
      </c>
      <c r="E12" s="2" t="s">
        <v>63</v>
      </c>
      <c r="F12" s="2" t="s">
        <v>11</v>
      </c>
      <c r="G12" s="2" t="s">
        <v>64</v>
      </c>
      <c r="H12" s="2" t="s">
        <v>6</v>
      </c>
      <c r="I12" s="2" t="s">
        <v>36</v>
      </c>
      <c r="J12" s="2" t="s">
        <v>36</v>
      </c>
      <c r="K12" s="2" t="s">
        <v>65</v>
      </c>
      <c r="L12" s="2" t="s">
        <v>66</v>
      </c>
      <c r="M12" s="2" t="s">
        <v>67</v>
      </c>
    </row>
    <row r="13">
      <c r="A13" s="2" t="s">
        <v>68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14</v>
      </c>
      <c r="G13" s="2" t="s">
        <v>35</v>
      </c>
      <c r="H13" s="2" t="s">
        <v>6</v>
      </c>
      <c r="I13" s="2" t="s">
        <v>36</v>
      </c>
      <c r="J13" s="2" t="s">
        <v>36</v>
      </c>
      <c r="K13" s="2" t="s">
        <v>69</v>
      </c>
      <c r="L13" s="2" t="s">
        <v>70</v>
      </c>
      <c r="M13" s="2" t="s">
        <v>71</v>
      </c>
    </row>
    <row r="14">
      <c r="A14" s="2" t="s">
        <v>72</v>
      </c>
      <c r="B14" s="2" t="s">
        <v>41</v>
      </c>
      <c r="C14" s="2" t="s">
        <v>32</v>
      </c>
      <c r="D14" s="2" t="s">
        <v>49</v>
      </c>
      <c r="E14" s="2" t="s">
        <v>50</v>
      </c>
      <c r="F14" s="2" t="s">
        <v>14</v>
      </c>
      <c r="G14" s="2" t="s">
        <v>44</v>
      </c>
      <c r="H14" s="2" t="s">
        <v>15</v>
      </c>
      <c r="I14" s="2" t="s">
        <v>51</v>
      </c>
      <c r="J14" s="2" t="s">
        <v>36</v>
      </c>
      <c r="K14" s="2" t="s">
        <v>73</v>
      </c>
      <c r="L14" s="2" t="s">
        <v>74</v>
      </c>
      <c r="M14" s="2" t="s">
        <v>75</v>
      </c>
    </row>
    <row r="15">
      <c r="A15" s="2" t="s">
        <v>76</v>
      </c>
      <c r="B15" s="2" t="s">
        <v>77</v>
      </c>
      <c r="C15" s="2" t="s">
        <v>32</v>
      </c>
      <c r="D15" s="2" t="s">
        <v>49</v>
      </c>
      <c r="E15" s="2" t="s">
        <v>43</v>
      </c>
      <c r="F15" s="2" t="s">
        <v>11</v>
      </c>
      <c r="G15" s="2" t="s">
        <v>35</v>
      </c>
      <c r="H15" s="2" t="s">
        <v>12</v>
      </c>
      <c r="I15" s="2" t="s">
        <v>51</v>
      </c>
      <c r="J15" s="2" t="s">
        <v>36</v>
      </c>
      <c r="K15" s="2" t="s">
        <v>78</v>
      </c>
      <c r="L15" s="2" t="s">
        <v>79</v>
      </c>
      <c r="M15" s="2" t="s">
        <v>80</v>
      </c>
    </row>
    <row r="16">
      <c r="A16" s="2" t="s">
        <v>81</v>
      </c>
      <c r="B16" s="2" t="s">
        <v>82</v>
      </c>
      <c r="C16" s="2" t="s">
        <v>32</v>
      </c>
      <c r="D16" s="2" t="s">
        <v>33</v>
      </c>
      <c r="E16" s="2" t="s">
        <v>50</v>
      </c>
      <c r="F16" s="2" t="s">
        <v>5</v>
      </c>
      <c r="G16" s="2" t="s">
        <v>83</v>
      </c>
      <c r="H16" s="2" t="s">
        <v>9</v>
      </c>
      <c r="I16" s="2" t="s">
        <v>51</v>
      </c>
      <c r="J16" s="2" t="s">
        <v>36</v>
      </c>
      <c r="K16" s="2" t="s">
        <v>84</v>
      </c>
      <c r="L16" s="2" t="s">
        <v>85</v>
      </c>
      <c r="M16" s="2" t="s">
        <v>86</v>
      </c>
    </row>
    <row r="17">
      <c r="A17" s="2" t="s">
        <v>87</v>
      </c>
      <c r="B17" s="2" t="s">
        <v>31</v>
      </c>
      <c r="C17" s="2" t="s">
        <v>32</v>
      </c>
      <c r="D17" s="2" t="s">
        <v>42</v>
      </c>
      <c r="E17" s="2" t="s">
        <v>34</v>
      </c>
      <c r="F17" s="2" t="s">
        <v>11</v>
      </c>
      <c r="G17" s="2" t="s">
        <v>35</v>
      </c>
      <c r="H17" s="2" t="s">
        <v>6</v>
      </c>
      <c r="I17" s="2" t="s">
        <v>36</v>
      </c>
      <c r="J17" s="2" t="s">
        <v>36</v>
      </c>
      <c r="K17" s="2" t="s">
        <v>88</v>
      </c>
      <c r="L17" s="2" t="s">
        <v>89</v>
      </c>
      <c r="M17" s="2" t="s">
        <v>90</v>
      </c>
    </row>
    <row r="18">
      <c r="A18" s="2" t="s">
        <v>91</v>
      </c>
      <c r="B18" s="2" t="s">
        <v>41</v>
      </c>
      <c r="C18" s="2" t="s">
        <v>32</v>
      </c>
      <c r="D18" s="2" t="s">
        <v>57</v>
      </c>
      <c r="E18" s="2" t="s">
        <v>43</v>
      </c>
      <c r="F18" s="2" t="s">
        <v>8</v>
      </c>
      <c r="G18" s="2" t="s">
        <v>44</v>
      </c>
      <c r="H18" s="2" t="s">
        <v>16</v>
      </c>
      <c r="I18" s="2" t="s">
        <v>36</v>
      </c>
      <c r="J18" s="2" t="s">
        <v>36</v>
      </c>
      <c r="K18" s="2" t="s">
        <v>92</v>
      </c>
      <c r="L18" s="2" t="s">
        <v>93</v>
      </c>
      <c r="M18" s="2" t="s">
        <v>94</v>
      </c>
    </row>
    <row r="19">
      <c r="A19" s="2" t="s">
        <v>95</v>
      </c>
      <c r="B19" s="2" t="s">
        <v>31</v>
      </c>
      <c r="C19" s="2" t="s">
        <v>32</v>
      </c>
      <c r="D19" s="2" t="s">
        <v>96</v>
      </c>
      <c r="E19" s="2" t="s">
        <v>97</v>
      </c>
      <c r="F19" s="2" t="s">
        <v>11</v>
      </c>
      <c r="G19" s="2" t="s">
        <v>83</v>
      </c>
      <c r="H19" s="2" t="s">
        <v>15</v>
      </c>
      <c r="I19" s="2" t="s">
        <v>98</v>
      </c>
      <c r="J19" s="2" t="s">
        <v>98</v>
      </c>
      <c r="K19" s="2" t="s">
        <v>99</v>
      </c>
      <c r="L19" s="2" t="s">
        <v>100</v>
      </c>
      <c r="M19" s="2" t="s">
        <v>101</v>
      </c>
    </row>
    <row r="20">
      <c r="A20" s="2" t="s">
        <v>102</v>
      </c>
      <c r="B20" s="2" t="s">
        <v>56</v>
      </c>
      <c r="C20" s="2" t="s">
        <v>32</v>
      </c>
      <c r="D20" s="2" t="s">
        <v>33</v>
      </c>
      <c r="E20" s="2" t="s">
        <v>50</v>
      </c>
      <c r="F20" s="2" t="s">
        <v>5</v>
      </c>
      <c r="G20" s="2" t="s">
        <v>44</v>
      </c>
      <c r="H20" s="2" t="s">
        <v>9</v>
      </c>
      <c r="I20" s="2" t="s">
        <v>36</v>
      </c>
      <c r="J20" s="2" t="s">
        <v>36</v>
      </c>
      <c r="K20" s="2" t="s">
        <v>103</v>
      </c>
      <c r="L20" s="2" t="s">
        <v>104</v>
      </c>
      <c r="M20" s="2" t="s">
        <v>105</v>
      </c>
    </row>
    <row r="21">
      <c r="A21" s="2" t="s">
        <v>106</v>
      </c>
      <c r="B21" s="2" t="s">
        <v>31</v>
      </c>
      <c r="C21" s="2" t="s">
        <v>62</v>
      </c>
      <c r="D21" s="2" t="s">
        <v>57</v>
      </c>
      <c r="E21" s="2" t="s">
        <v>34</v>
      </c>
      <c r="F21" s="2" t="s">
        <v>5</v>
      </c>
      <c r="G21" s="2" t="s">
        <v>35</v>
      </c>
      <c r="H21" s="2" t="s">
        <v>6</v>
      </c>
      <c r="I21" s="2" t="s">
        <v>36</v>
      </c>
      <c r="J21" s="2" t="s">
        <v>36</v>
      </c>
      <c r="K21" s="2" t="s">
        <v>107</v>
      </c>
      <c r="L21" s="2" t="s">
        <v>108</v>
      </c>
      <c r="M21" s="2" t="s">
        <v>109</v>
      </c>
    </row>
    <row r="22">
      <c r="A22" s="2" t="s">
        <v>110</v>
      </c>
      <c r="B22" s="2" t="s">
        <v>41</v>
      </c>
      <c r="C22" s="2" t="s">
        <v>32</v>
      </c>
      <c r="D22" s="2" t="s">
        <v>42</v>
      </c>
      <c r="E22" s="2" t="s">
        <v>43</v>
      </c>
      <c r="F22" s="2" t="s">
        <v>14</v>
      </c>
      <c r="G22" s="2" t="s">
        <v>44</v>
      </c>
      <c r="H22" s="2" t="s">
        <v>15</v>
      </c>
      <c r="I22" s="2" t="s">
        <v>51</v>
      </c>
      <c r="J22" s="2" t="s">
        <v>36</v>
      </c>
      <c r="K22" s="2" t="s">
        <v>111</v>
      </c>
      <c r="L22" s="2" t="s">
        <v>112</v>
      </c>
      <c r="M22" s="2" t="s">
        <v>113</v>
      </c>
    </row>
    <row r="23">
      <c r="A23" s="2" t="s">
        <v>114</v>
      </c>
      <c r="B23" s="2" t="s">
        <v>77</v>
      </c>
      <c r="C23" s="2" t="s">
        <v>32</v>
      </c>
      <c r="D23" s="2" t="s">
        <v>49</v>
      </c>
      <c r="E23" s="2" t="s">
        <v>50</v>
      </c>
      <c r="F23" s="2" t="s">
        <v>11</v>
      </c>
      <c r="G23" s="2" t="s">
        <v>44</v>
      </c>
      <c r="H23" s="2" t="s">
        <v>6</v>
      </c>
      <c r="I23" s="2" t="s">
        <v>36</v>
      </c>
      <c r="J23" s="2" t="s">
        <v>36</v>
      </c>
      <c r="K23" s="2" t="s">
        <v>115</v>
      </c>
      <c r="L23" s="2" t="s">
        <v>116</v>
      </c>
      <c r="M23" s="2" t="s">
        <v>117</v>
      </c>
    </row>
    <row r="24">
      <c r="A24" s="2" t="s">
        <v>118</v>
      </c>
      <c r="B24" s="2" t="s">
        <v>31</v>
      </c>
      <c r="C24" s="2" t="s">
        <v>32</v>
      </c>
      <c r="D24" s="2" t="s">
        <v>33</v>
      </c>
      <c r="E24" s="2" t="s">
        <v>63</v>
      </c>
      <c r="F24" s="2" t="s">
        <v>14</v>
      </c>
      <c r="G24" s="2" t="s">
        <v>64</v>
      </c>
      <c r="H24" s="2" t="s">
        <v>6</v>
      </c>
      <c r="I24" s="2" t="s">
        <v>36</v>
      </c>
      <c r="J24" s="2" t="s">
        <v>36</v>
      </c>
      <c r="K24" s="2" t="s">
        <v>119</v>
      </c>
      <c r="L24" s="2" t="s">
        <v>120</v>
      </c>
      <c r="M24" s="2" t="s">
        <v>121</v>
      </c>
    </row>
    <row r="25">
      <c r="A25" s="2" t="s">
        <v>122</v>
      </c>
      <c r="B25" s="2" t="s">
        <v>41</v>
      </c>
      <c r="C25" s="2" t="s">
        <v>32</v>
      </c>
      <c r="D25" s="2" t="s">
        <v>49</v>
      </c>
      <c r="E25" s="2" t="s">
        <v>50</v>
      </c>
      <c r="F25" s="2" t="s">
        <v>5</v>
      </c>
      <c r="G25" s="2" t="s">
        <v>44</v>
      </c>
      <c r="H25" s="2" t="s">
        <v>16</v>
      </c>
      <c r="I25" s="2" t="s">
        <v>36</v>
      </c>
      <c r="J25" s="2" t="s">
        <v>36</v>
      </c>
      <c r="K25" s="2" t="s">
        <v>123</v>
      </c>
      <c r="L25" s="2" t="s">
        <v>124</v>
      </c>
      <c r="M25" s="2" t="s">
        <v>125</v>
      </c>
    </row>
    <row r="26">
      <c r="A26" s="2" t="s">
        <v>126</v>
      </c>
      <c r="B26" s="2" t="s">
        <v>56</v>
      </c>
      <c r="C26" s="2" t="s">
        <v>32</v>
      </c>
      <c r="D26" s="2" t="s">
        <v>42</v>
      </c>
      <c r="E26" s="2" t="s">
        <v>127</v>
      </c>
      <c r="F26" s="2" t="s">
        <v>8</v>
      </c>
      <c r="G26" s="2" t="s">
        <v>83</v>
      </c>
      <c r="H26" s="2" t="s">
        <v>9</v>
      </c>
      <c r="I26" s="2" t="s">
        <v>36</v>
      </c>
      <c r="J26" s="2" t="s">
        <v>36</v>
      </c>
      <c r="K26" s="2" t="s">
        <v>128</v>
      </c>
      <c r="L26" s="2" t="s">
        <v>129</v>
      </c>
      <c r="M26" s="2" t="s">
        <v>130</v>
      </c>
    </row>
    <row r="27">
      <c r="A27" s="2" t="s">
        <v>131</v>
      </c>
      <c r="B27" s="2" t="s">
        <v>31</v>
      </c>
      <c r="C27" s="2" t="s">
        <v>32</v>
      </c>
      <c r="D27" s="2" t="s">
        <v>42</v>
      </c>
      <c r="E27" s="2" t="s">
        <v>43</v>
      </c>
      <c r="F27" s="2" t="s">
        <v>11</v>
      </c>
      <c r="G27" s="2" t="s">
        <v>35</v>
      </c>
      <c r="H27" s="2" t="s">
        <v>12</v>
      </c>
      <c r="I27" s="2" t="s">
        <v>36</v>
      </c>
      <c r="J27" s="2" t="s">
        <v>36</v>
      </c>
      <c r="K27" s="2" t="s">
        <v>132</v>
      </c>
      <c r="L27" s="2" t="s">
        <v>133</v>
      </c>
      <c r="M27" s="2" t="s">
        <v>134</v>
      </c>
    </row>
    <row r="28">
      <c r="A28" s="2" t="s">
        <v>135</v>
      </c>
      <c r="B28" s="2" t="s">
        <v>82</v>
      </c>
      <c r="C28" s="2" t="s">
        <v>32</v>
      </c>
      <c r="D28" s="2" t="s">
        <v>49</v>
      </c>
      <c r="E28" s="2" t="s">
        <v>50</v>
      </c>
      <c r="F28" s="2" t="s">
        <v>5</v>
      </c>
      <c r="G28" s="2" t="s">
        <v>83</v>
      </c>
      <c r="H28" s="2" t="s">
        <v>9</v>
      </c>
      <c r="I28" s="2" t="s">
        <v>51</v>
      </c>
      <c r="J28" s="2" t="s">
        <v>36</v>
      </c>
      <c r="K28" s="2" t="s">
        <v>136</v>
      </c>
      <c r="L28" s="2" t="s">
        <v>137</v>
      </c>
      <c r="M28" s="2" t="s">
        <v>138</v>
      </c>
    </row>
    <row r="29">
      <c r="A29" s="2" t="s">
        <v>139</v>
      </c>
      <c r="B29" s="2" t="s">
        <v>31</v>
      </c>
      <c r="C29" s="2" t="s">
        <v>32</v>
      </c>
      <c r="D29" s="2" t="s">
        <v>96</v>
      </c>
      <c r="E29" s="2" t="s">
        <v>127</v>
      </c>
      <c r="F29" s="2" t="s">
        <v>14</v>
      </c>
      <c r="G29" s="2" t="s">
        <v>44</v>
      </c>
      <c r="H29" s="2" t="s">
        <v>15</v>
      </c>
      <c r="I29" s="2" t="s">
        <v>36</v>
      </c>
      <c r="J29" s="2" t="s">
        <v>36</v>
      </c>
      <c r="K29" s="2" t="s">
        <v>140</v>
      </c>
      <c r="L29" s="2" t="s">
        <v>141</v>
      </c>
      <c r="M29" s="2" t="s">
        <v>142</v>
      </c>
    </row>
    <row r="30">
      <c r="A30" s="2" t="s">
        <v>143</v>
      </c>
      <c r="B30" s="2" t="s">
        <v>41</v>
      </c>
      <c r="C30" s="2" t="s">
        <v>32</v>
      </c>
      <c r="D30" s="2" t="s">
        <v>57</v>
      </c>
      <c r="E30" s="2" t="s">
        <v>34</v>
      </c>
      <c r="F30" s="2" t="s">
        <v>5</v>
      </c>
      <c r="G30" s="2" t="s">
        <v>35</v>
      </c>
      <c r="H30" s="2" t="s">
        <v>6</v>
      </c>
      <c r="I30" s="2" t="s">
        <v>36</v>
      </c>
      <c r="J30" s="2" t="s">
        <v>36</v>
      </c>
      <c r="K30" s="2" t="s">
        <v>144</v>
      </c>
      <c r="L30" s="2" t="s">
        <v>145</v>
      </c>
      <c r="M30" s="2" t="s">
        <v>146</v>
      </c>
    </row>
    <row r="31">
      <c r="A31" s="2" t="s">
        <v>147</v>
      </c>
      <c r="B31" s="2" t="s">
        <v>31</v>
      </c>
      <c r="C31" s="2" t="s">
        <v>32</v>
      </c>
      <c r="D31" s="2" t="s">
        <v>33</v>
      </c>
      <c r="E31" s="2" t="s">
        <v>43</v>
      </c>
      <c r="F31" s="2" t="s">
        <v>14</v>
      </c>
      <c r="G31" s="2" t="s">
        <v>44</v>
      </c>
      <c r="H31" s="2" t="s">
        <v>16</v>
      </c>
      <c r="I31" s="2" t="s">
        <v>36</v>
      </c>
      <c r="J31" s="2" t="s">
        <v>36</v>
      </c>
      <c r="K31" s="2" t="s">
        <v>148</v>
      </c>
      <c r="L31" s="2" t="s">
        <v>149</v>
      </c>
      <c r="M31" s="2" t="s">
        <v>150</v>
      </c>
    </row>
  </sheetData>
  <drawing r:id="rId1"/>
  <tableParts count="2">
    <tablePart r:id="rId4"/>
    <tablePart r:id="rId5"/>
  </tableParts>
</worksheet>
</file>